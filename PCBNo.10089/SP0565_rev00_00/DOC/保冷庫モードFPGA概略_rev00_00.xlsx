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work\S127M\PCBNo_10089\SP0565_rev02_00\DOC\"/>
    </mc:Choice>
  </mc:AlternateContent>
  <xr:revisionPtr revIDLastSave="0" documentId="13_ncr:1_{FA2A471D-327A-40FF-AF62-D5DB3F1B03CF}" xr6:coauthVersionLast="47" xr6:coauthVersionMax="47" xr10:uidLastSave="{00000000-0000-0000-0000-000000000000}"/>
  <bookViews>
    <workbookView xWindow="-28965" yWindow="-165" windowWidth="29130" windowHeight="15810" tabRatio="704" xr2:uid="{32D2CFF1-A107-4B5D-BA38-88BB32EFB418}"/>
  </bookViews>
  <sheets>
    <sheet name="TEMP_ALM_TOP" sheetId="6" r:id="rId1"/>
    <sheet name="Sheet1" sheetId="8"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2" i="8" l="1"/>
  <c r="B78" i="6"/>
  <c r="B79" i="6" s="1"/>
  <c r="B80" i="6" s="1"/>
  <c r="B81" i="6" s="1"/>
  <c r="B82" i="6" s="1"/>
  <c r="B83" i="6" s="1"/>
  <c r="B84" i="6" s="1"/>
  <c r="B85" i="6" s="1"/>
  <c r="B66" i="6"/>
  <c r="B67" i="6" s="1"/>
  <c r="B68" i="6" s="1"/>
  <c r="B69" i="6" s="1"/>
  <c r="B70" i="6" s="1"/>
  <c r="B71" i="6" s="1"/>
  <c r="B72" i="6" s="1"/>
</calcChain>
</file>

<file path=xl/sharedStrings.xml><?xml version="1.0" encoding="utf-8"?>
<sst xmlns="http://schemas.openxmlformats.org/spreadsheetml/2006/main" count="158" uniqueCount="110">
  <si>
    <t>No</t>
    <phoneticPr fontId="1"/>
  </si>
  <si>
    <t>信号名</t>
    <rPh sb="0" eb="3">
      <t>シンゴウメイ</t>
    </rPh>
    <phoneticPr fontId="1"/>
  </si>
  <si>
    <t>入出力</t>
    <rPh sb="0" eb="3">
      <t>ニュウシュツリョク</t>
    </rPh>
    <phoneticPr fontId="1"/>
  </si>
  <si>
    <t>内容</t>
    <rPh sb="0" eb="2">
      <t>ナイヨウ</t>
    </rPh>
    <phoneticPr fontId="1"/>
  </si>
  <si>
    <t>論理</t>
    <rPh sb="0" eb="2">
      <t>ロンリ</t>
    </rPh>
    <phoneticPr fontId="1"/>
  </si>
  <si>
    <t>I</t>
  </si>
  <si>
    <t>ー</t>
    <phoneticPr fontId="1"/>
  </si>
  <si>
    <t>リセット</t>
    <phoneticPr fontId="1"/>
  </si>
  <si>
    <t>リセット解除</t>
    <rPh sb="4" eb="6">
      <t>カイジョ</t>
    </rPh>
    <phoneticPr fontId="1"/>
  </si>
  <si>
    <t>CLK</t>
    <phoneticPr fontId="1"/>
  </si>
  <si>
    <t>マスタークロック20MHz</t>
    <phoneticPr fontId="1"/>
  </si>
  <si>
    <t>RSTb</t>
    <phoneticPr fontId="1"/>
  </si>
  <si>
    <t>CKEN1k</t>
    <phoneticPr fontId="1"/>
  </si>
  <si>
    <t>1kHzクロックイネーブル</t>
    <phoneticPr fontId="1"/>
  </si>
  <si>
    <t>bit幅</t>
    <rPh sb="3" eb="4">
      <t>ハバ</t>
    </rPh>
    <phoneticPr fontId="1"/>
  </si>
  <si>
    <t>備考</t>
    <rPh sb="0" eb="2">
      <t>ビコウ</t>
    </rPh>
    <phoneticPr fontId="1"/>
  </si>
  <si>
    <t>【ブロック図】</t>
    <rPh sb="5" eb="6">
      <t>ズ</t>
    </rPh>
    <phoneticPr fontId="1"/>
  </si>
  <si>
    <t>【入出力信号一覧】</t>
    <rPh sb="1" eb="4">
      <t>ニュウシュツリョク</t>
    </rPh>
    <rPh sb="4" eb="6">
      <t>シンゴウ</t>
    </rPh>
    <rPh sb="6" eb="8">
      <t>イチラン</t>
    </rPh>
    <phoneticPr fontId="1"/>
  </si>
  <si>
    <t>【内部信号一覧】</t>
    <rPh sb="1" eb="3">
      <t>ナイブ</t>
    </rPh>
    <rPh sb="3" eb="5">
      <t>シンゴウ</t>
    </rPh>
    <rPh sb="5" eb="7">
      <t>イチラン</t>
    </rPh>
    <phoneticPr fontId="1"/>
  </si>
  <si>
    <t>【概要】</t>
    <rPh sb="1" eb="3">
      <t>ガイヨウ</t>
    </rPh>
    <phoneticPr fontId="1"/>
  </si>
  <si>
    <t>COOL_MODE</t>
    <phoneticPr fontId="1"/>
  </si>
  <si>
    <t>保冷モードか通常モードかを判別</t>
    <rPh sb="0" eb="2">
      <t>ホレイ</t>
    </rPh>
    <rPh sb="6" eb="8">
      <t>ツウジョウ</t>
    </rPh>
    <rPh sb="13" eb="15">
      <t>ハンベツ</t>
    </rPh>
    <phoneticPr fontId="1"/>
  </si>
  <si>
    <t>保冷モード</t>
    <rPh sb="0" eb="2">
      <t>ホレイ</t>
    </rPh>
    <phoneticPr fontId="1"/>
  </si>
  <si>
    <t>通常モード</t>
    <rPh sb="0" eb="2">
      <t>ツウジョウ</t>
    </rPh>
    <phoneticPr fontId="1"/>
  </si>
  <si>
    <t>TEMP_MEAS</t>
    <phoneticPr fontId="1"/>
  </si>
  <si>
    <t>TEMP_REF</t>
    <phoneticPr fontId="1"/>
  </si>
  <si>
    <t>I</t>
    <phoneticPr fontId="1"/>
  </si>
  <si>
    <t>測定温度</t>
    <rPh sb="0" eb="2">
      <t>ソクテイ</t>
    </rPh>
    <rPh sb="2" eb="4">
      <t>オンド</t>
    </rPh>
    <phoneticPr fontId="1"/>
  </si>
  <si>
    <t>目標温度</t>
    <rPh sb="0" eb="2">
      <t>モクヒョウ</t>
    </rPh>
    <rPh sb="2" eb="4">
      <t>オンド</t>
    </rPh>
    <phoneticPr fontId="1"/>
  </si>
  <si>
    <t>TEMP_THRESH</t>
    <phoneticPr fontId="1"/>
  </si>
  <si>
    <t>異常判定誤差閾値</t>
    <rPh sb="0" eb="2">
      <t>イジョウ</t>
    </rPh>
    <rPh sb="2" eb="4">
      <t>ハンテイ</t>
    </rPh>
    <rPh sb="4" eb="6">
      <t>ゴサ</t>
    </rPh>
    <rPh sb="6" eb="8">
      <t>シキイチ</t>
    </rPh>
    <phoneticPr fontId="1"/>
  </si>
  <si>
    <t>測定温度と目標温度の差の絶対値が閾値以上の場合に温度異常と判定</t>
    <rPh sb="0" eb="2">
      <t>ソクテイ</t>
    </rPh>
    <rPh sb="2" eb="4">
      <t>オンド</t>
    </rPh>
    <rPh sb="5" eb="9">
      <t>モクヒョウオンド</t>
    </rPh>
    <rPh sb="10" eb="11">
      <t>サ</t>
    </rPh>
    <rPh sb="12" eb="15">
      <t>ゼッタイチ</t>
    </rPh>
    <rPh sb="16" eb="18">
      <t>シキイチ</t>
    </rPh>
    <rPh sb="18" eb="20">
      <t>イジョウ</t>
    </rPh>
    <rPh sb="21" eb="23">
      <t>バアイ</t>
    </rPh>
    <rPh sb="24" eb="26">
      <t>オンド</t>
    </rPh>
    <rPh sb="26" eb="28">
      <t>イジョウ</t>
    </rPh>
    <rPh sb="29" eb="31">
      <t>ハンテイ</t>
    </rPh>
    <phoneticPr fontId="1"/>
  </si>
  <si>
    <t>TEMP_ALM</t>
    <phoneticPr fontId="1"/>
  </si>
  <si>
    <t>O</t>
    <phoneticPr fontId="1"/>
  </si>
  <si>
    <t>温度異常出力</t>
    <rPh sb="0" eb="2">
      <t>オンド</t>
    </rPh>
    <rPh sb="2" eb="4">
      <t>イジョウ</t>
    </rPh>
    <rPh sb="4" eb="6">
      <t>シュツリョク</t>
    </rPh>
    <phoneticPr fontId="1"/>
  </si>
  <si>
    <t>異常</t>
    <rPh sb="0" eb="2">
      <t>イジョウ</t>
    </rPh>
    <phoneticPr fontId="1"/>
  </si>
  <si>
    <t>正常</t>
    <rPh sb="0" eb="2">
      <t>セイジョウ</t>
    </rPh>
    <phoneticPr fontId="1"/>
  </si>
  <si>
    <t>保冷庫モード中に、測定温度と目標温度の差が設定した閾値以上の場合アラームを出力する。</t>
    <rPh sb="0" eb="3">
      <t>ホレイコ</t>
    </rPh>
    <rPh sb="6" eb="7">
      <t>チュウ</t>
    </rPh>
    <rPh sb="9" eb="13">
      <t>ソクテイオンド</t>
    </rPh>
    <rPh sb="14" eb="18">
      <t>モクヒョウオンド</t>
    </rPh>
    <rPh sb="19" eb="20">
      <t>サ</t>
    </rPh>
    <rPh sb="21" eb="23">
      <t>セッテイ</t>
    </rPh>
    <rPh sb="25" eb="27">
      <t>シキイチ</t>
    </rPh>
    <rPh sb="27" eb="29">
      <t>イジョウ</t>
    </rPh>
    <rPh sb="30" eb="32">
      <t>バアイ</t>
    </rPh>
    <rPh sb="37" eb="39">
      <t>シュツリョク</t>
    </rPh>
    <phoneticPr fontId="1"/>
  </si>
  <si>
    <t>10回の合計値をSUM、平均値をAVGとすると</t>
    <rPh sb="2" eb="3">
      <t>カイ</t>
    </rPh>
    <rPh sb="4" eb="7">
      <t>ゴウケイチ</t>
    </rPh>
    <rPh sb="12" eb="15">
      <t>ヘイキンチ</t>
    </rPh>
    <phoneticPr fontId="1"/>
  </si>
  <si>
    <t>AVG＝SUM/10</t>
    <phoneticPr fontId="1"/>
  </si>
  <si>
    <t>任意な数字の割り算は回路規模が大きくなる</t>
    <rPh sb="0" eb="2">
      <t>ニンイ</t>
    </rPh>
    <rPh sb="3" eb="5">
      <t>スウジ</t>
    </rPh>
    <rPh sb="6" eb="7">
      <t>ワ</t>
    </rPh>
    <rPh sb="8" eb="9">
      <t>ザン</t>
    </rPh>
    <rPh sb="10" eb="14">
      <t>カイロキボ</t>
    </rPh>
    <rPh sb="15" eb="16">
      <t>オオ</t>
    </rPh>
    <phoneticPr fontId="1"/>
  </si>
  <si>
    <t>分母が２のべき乗であれば、指数分シフトするだけなので回路規模が小さくてすむ</t>
    <rPh sb="0" eb="2">
      <t>ブンボ</t>
    </rPh>
    <rPh sb="7" eb="8">
      <t>ジョウ</t>
    </rPh>
    <rPh sb="13" eb="15">
      <t>シスウ</t>
    </rPh>
    <rPh sb="15" eb="16">
      <t>ブン</t>
    </rPh>
    <rPh sb="26" eb="28">
      <t>カイロ</t>
    </rPh>
    <rPh sb="28" eb="30">
      <t>キボ</t>
    </rPh>
    <rPh sb="31" eb="32">
      <t>チイ</t>
    </rPh>
    <phoneticPr fontId="1"/>
  </si>
  <si>
    <t>近似計算で分母を２のべき乗にするとすると</t>
    <rPh sb="0" eb="4">
      <t>キンジケイサン</t>
    </rPh>
    <rPh sb="5" eb="7">
      <t>ブンボ</t>
    </rPh>
    <rPh sb="12" eb="13">
      <t>ジョウ</t>
    </rPh>
    <phoneticPr fontId="1"/>
  </si>
  <si>
    <t>AVB＝SUM×205／2048</t>
    <phoneticPr fontId="1"/>
  </si>
  <si>
    <t>２０４８は２の11乗</t>
    <rPh sb="9" eb="10">
      <t>ジョウ</t>
    </rPh>
    <phoneticPr fontId="1"/>
  </si>
  <si>
    <t>205は本来、分母を204.8倍しているので、分子も204.8倍すべきだが少数になるので四捨五入して205とする</t>
    <rPh sb="4" eb="6">
      <t>ホンライ</t>
    </rPh>
    <rPh sb="7" eb="9">
      <t>ブンボ</t>
    </rPh>
    <rPh sb="15" eb="16">
      <t>バイ</t>
    </rPh>
    <rPh sb="23" eb="25">
      <t>ブンシ</t>
    </rPh>
    <rPh sb="31" eb="32">
      <t>バイ</t>
    </rPh>
    <rPh sb="37" eb="39">
      <t>ショウスウ</t>
    </rPh>
    <rPh sb="44" eb="48">
      <t>シシャゴニュウ</t>
    </rPh>
    <phoneticPr fontId="1"/>
  </si>
  <si>
    <t>掛け算も２のべき乗で実現したい</t>
    <rPh sb="0" eb="1">
      <t>カ</t>
    </rPh>
    <rPh sb="2" eb="3">
      <t>ザン</t>
    </rPh>
    <rPh sb="8" eb="9">
      <t>ジョウ</t>
    </rPh>
    <rPh sb="10" eb="12">
      <t>ジツゲン</t>
    </rPh>
    <phoneticPr fontId="1"/>
  </si>
  <si>
    <t>２０５に近いべき乗は２５６（２の８乗）</t>
    <rPh sb="4" eb="5">
      <t>チカ</t>
    </rPh>
    <rPh sb="8" eb="9">
      <t>ジョウ</t>
    </rPh>
    <rPh sb="17" eb="18">
      <t>ジョウ</t>
    </rPh>
    <phoneticPr fontId="1"/>
  </si>
  <si>
    <t>２０５＝（２５６－５１）</t>
    <phoneticPr fontId="1"/>
  </si>
  <si>
    <t>１３に近いべき乗は１６（２の４乗）</t>
    <rPh sb="3" eb="4">
      <t>チカ</t>
    </rPh>
    <rPh sb="7" eb="8">
      <t>ジョウ</t>
    </rPh>
    <rPh sb="15" eb="16">
      <t>ジョウ</t>
    </rPh>
    <phoneticPr fontId="1"/>
  </si>
  <si>
    <t>５１に近いべき乗は６４（２の6乗）</t>
    <rPh sb="3" eb="4">
      <t>チカ</t>
    </rPh>
    <rPh sb="7" eb="8">
      <t>ジョウ</t>
    </rPh>
    <rPh sb="15" eb="16">
      <t>ジョウ</t>
    </rPh>
    <phoneticPr fontId="1"/>
  </si>
  <si>
    <t>２０５＝（２５６－６４＋１３）</t>
    <phoneticPr fontId="1"/>
  </si>
  <si>
    <t>２０５＝（２５６－６４＋１６－３）</t>
    <phoneticPr fontId="1"/>
  </si>
  <si>
    <t>３に近いべき乗は４（２の２乗）</t>
    <rPh sb="2" eb="3">
      <t>チカ</t>
    </rPh>
    <rPh sb="6" eb="7">
      <t>ジョウ</t>
    </rPh>
    <rPh sb="13" eb="14">
      <t>ジョウ</t>
    </rPh>
    <phoneticPr fontId="1"/>
  </si>
  <si>
    <t>２０５＝（２５６－６４＋１６－４＋１）</t>
    <phoneticPr fontId="1"/>
  </si>
  <si>
    <t>s_cnt1min</t>
    <phoneticPr fontId="1"/>
  </si>
  <si>
    <t>-</t>
    <phoneticPr fontId="1"/>
  </si>
  <si>
    <t>s_CKEN1min</t>
    <phoneticPr fontId="1"/>
  </si>
  <si>
    <t>s_temp_d</t>
    <phoneticPr fontId="1"/>
  </si>
  <si>
    <t>s_sum</t>
    <phoneticPr fontId="1"/>
  </si>
  <si>
    <t>s_cnt</t>
    <phoneticPr fontId="1"/>
  </si>
  <si>
    <t>s_sum_buf</t>
    <phoneticPr fontId="1"/>
  </si>
  <si>
    <t>s_avg_temp</t>
    <phoneticPr fontId="1"/>
  </si>
  <si>
    <t>s_alm</t>
    <phoneticPr fontId="1"/>
  </si>
  <si>
    <t>s_diff</t>
    <phoneticPr fontId="1"/>
  </si>
  <si>
    <t>1分クロックイネーブル用カウンタ</t>
    <phoneticPr fontId="1"/>
  </si>
  <si>
    <t>10*12</t>
    <phoneticPr fontId="1"/>
  </si>
  <si>
    <t>1分クロックイネーブル</t>
    <phoneticPr fontId="1"/>
  </si>
  <si>
    <t>測定値10回分保存用配列</t>
    <rPh sb="10" eb="12">
      <t>ハイレツ</t>
    </rPh>
    <phoneticPr fontId="1"/>
  </si>
  <si>
    <t>起動後10回測定までのカウント</t>
    <rPh sb="0" eb="2">
      <t>キドウ</t>
    </rPh>
    <rPh sb="2" eb="3">
      <t>アト</t>
    </rPh>
    <rPh sb="5" eb="6">
      <t>カイ</t>
    </rPh>
    <rPh sb="6" eb="8">
      <t>ソクテイ</t>
    </rPh>
    <phoneticPr fontId="1"/>
  </si>
  <si>
    <t>平均値計算用信号</t>
    <rPh sb="0" eb="2">
      <t>ヘイキン</t>
    </rPh>
    <rPh sb="2" eb="3">
      <t>アタイ</t>
    </rPh>
    <rPh sb="3" eb="5">
      <t>ケイサン</t>
    </rPh>
    <rPh sb="5" eb="6">
      <t>ヨウ</t>
    </rPh>
    <rPh sb="6" eb="8">
      <t>シンゴウ</t>
    </rPh>
    <phoneticPr fontId="1"/>
  </si>
  <si>
    <t>測定10回の合計値</t>
    <rPh sb="0" eb="2">
      <t>ソクテイ</t>
    </rPh>
    <rPh sb="4" eb="5">
      <t>カイ</t>
    </rPh>
    <rPh sb="6" eb="9">
      <t>ゴウケイチ</t>
    </rPh>
    <phoneticPr fontId="1"/>
  </si>
  <si>
    <t>測定10回の平均値</t>
    <rPh sb="0" eb="2">
      <t>ソクテイ</t>
    </rPh>
    <rPh sb="4" eb="5">
      <t>カイ</t>
    </rPh>
    <rPh sb="6" eb="9">
      <t>ヘイキンチ</t>
    </rPh>
    <phoneticPr fontId="1"/>
  </si>
  <si>
    <t>温度異常アラーム</t>
    <rPh sb="0" eb="2">
      <t>オンド</t>
    </rPh>
    <rPh sb="2" eb="4">
      <t>イジョウ</t>
    </rPh>
    <phoneticPr fontId="1"/>
  </si>
  <si>
    <t>平均値と目標値の差</t>
    <rPh sb="0" eb="3">
      <t>ヘイキンチ</t>
    </rPh>
    <rPh sb="4" eb="7">
      <t>モクヒョウチ</t>
    </rPh>
    <rPh sb="8" eb="9">
      <t>サ</t>
    </rPh>
    <phoneticPr fontId="1"/>
  </si>
  <si>
    <t>12ビット×10個の配列</t>
    <rPh sb="8" eb="9">
      <t>コ</t>
    </rPh>
    <rPh sb="10" eb="12">
      <t>ハイレツ</t>
    </rPh>
    <phoneticPr fontId="1"/>
  </si>
  <si>
    <t>s_sumの205倍</t>
    <rPh sb="9" eb="10">
      <t>バイ</t>
    </rPh>
    <phoneticPr fontId="1"/>
  </si>
  <si>
    <t>測定温度を1分毎に取得</t>
    <rPh sb="0" eb="4">
      <t>ソクテイオンド</t>
    </rPh>
    <rPh sb="6" eb="7">
      <t>プン</t>
    </rPh>
    <rPh sb="7" eb="8">
      <t>ゴト</t>
    </rPh>
    <rPh sb="9" eb="11">
      <t>シュトク</t>
    </rPh>
    <phoneticPr fontId="1"/>
  </si>
  <si>
    <t>①</t>
    <phoneticPr fontId="1"/>
  </si>
  <si>
    <t>②</t>
    <phoneticPr fontId="1"/>
  </si>
  <si>
    <t>③</t>
    <phoneticPr fontId="1"/>
  </si>
  <si>
    <t>アラーム検知は以下の条件で行う</t>
    <rPh sb="4" eb="6">
      <t>ケンチ</t>
    </rPh>
    <rPh sb="7" eb="9">
      <t>イカ</t>
    </rPh>
    <rPh sb="10" eb="12">
      <t>ジョウケン</t>
    </rPh>
    <rPh sb="13" eb="14">
      <t>オコナ</t>
    </rPh>
    <phoneticPr fontId="1"/>
  </si>
  <si>
    <t>目標値と平均値の差が閾値以上であればアラーム出力</t>
    <rPh sb="0" eb="3">
      <t>モクヒョウアタイ</t>
    </rPh>
    <rPh sb="4" eb="7">
      <t>ヘイキンチ</t>
    </rPh>
    <rPh sb="8" eb="9">
      <t>サ</t>
    </rPh>
    <rPh sb="10" eb="12">
      <t>シキイチ</t>
    </rPh>
    <rPh sb="12" eb="14">
      <t>イジョウ</t>
    </rPh>
    <rPh sb="22" eb="24">
      <t>シュツリョク</t>
    </rPh>
    <phoneticPr fontId="1"/>
  </si>
  <si>
    <t>（平均値演算について）</t>
    <rPh sb="1" eb="4">
      <t>ヘイキンチ</t>
    </rPh>
    <rPh sb="4" eb="6">
      <t>エンザン</t>
    </rPh>
    <phoneticPr fontId="1"/>
  </si>
  <si>
    <t>割り算回路は回路規模が大きくなるので、単純に合計÷１０という演算は行わずに近似計算をすることとする。</t>
    <rPh sb="0" eb="1">
      <t>ワ</t>
    </rPh>
    <rPh sb="2" eb="3">
      <t>ザン</t>
    </rPh>
    <rPh sb="3" eb="5">
      <t>カイロ</t>
    </rPh>
    <rPh sb="6" eb="10">
      <t>カイロキボ</t>
    </rPh>
    <rPh sb="11" eb="12">
      <t>オオ</t>
    </rPh>
    <rPh sb="19" eb="21">
      <t>タンジュン</t>
    </rPh>
    <rPh sb="22" eb="24">
      <t>ゴウケイ</t>
    </rPh>
    <rPh sb="30" eb="32">
      <t>エンザン</t>
    </rPh>
    <rPh sb="33" eb="34">
      <t>オコナ</t>
    </rPh>
    <rPh sb="37" eb="41">
      <t>キンジケイサン</t>
    </rPh>
    <phoneticPr fontId="1"/>
  </si>
  <si>
    <t>理屈は、分母を２のべき乗とすれば割り算を右にシフトするだけで実現可能であることを利用する。</t>
    <rPh sb="0" eb="2">
      <t>リクツ</t>
    </rPh>
    <rPh sb="4" eb="6">
      <t>ブンボ</t>
    </rPh>
    <rPh sb="11" eb="12">
      <t>ジョウ</t>
    </rPh>
    <rPh sb="16" eb="17">
      <t>ワ</t>
    </rPh>
    <rPh sb="18" eb="19">
      <t>ザン</t>
    </rPh>
    <rPh sb="20" eb="21">
      <t>ミギ</t>
    </rPh>
    <rPh sb="30" eb="32">
      <t>ジツゲン</t>
    </rPh>
    <rPh sb="32" eb="34">
      <t>カノウ</t>
    </rPh>
    <rPh sb="40" eb="42">
      <t>リヨウ</t>
    </rPh>
    <phoneticPr fontId="1"/>
  </si>
  <si>
    <t>今回は分母は２０４８（２の11乗）とする</t>
    <rPh sb="0" eb="2">
      <t>コンカイ</t>
    </rPh>
    <rPh sb="3" eb="5">
      <t>ブンボ</t>
    </rPh>
    <rPh sb="15" eb="16">
      <t>ジョウ</t>
    </rPh>
    <phoneticPr fontId="1"/>
  </si>
  <si>
    <t>分母を１０から２０４８にするので、分子を２０４．８倍する必要があるが少数は表現できないので分子を205倍で近似。</t>
    <rPh sb="0" eb="2">
      <t>ブンボ</t>
    </rPh>
    <rPh sb="17" eb="19">
      <t>ブンシ</t>
    </rPh>
    <rPh sb="25" eb="26">
      <t>バイ</t>
    </rPh>
    <rPh sb="28" eb="30">
      <t>ヒツヨウ</t>
    </rPh>
    <rPh sb="34" eb="36">
      <t>ショウスウ</t>
    </rPh>
    <rPh sb="37" eb="39">
      <t>ヒョウゲン</t>
    </rPh>
    <rPh sb="45" eb="47">
      <t>ブンシ</t>
    </rPh>
    <rPh sb="51" eb="52">
      <t>バイ</t>
    </rPh>
    <rPh sb="53" eb="55">
      <t>キンジ</t>
    </rPh>
    <phoneticPr fontId="1"/>
  </si>
  <si>
    <t>よって平均値の計算は以下で行う</t>
    <rPh sb="3" eb="6">
      <t>ヘイキンチ</t>
    </rPh>
    <rPh sb="7" eb="9">
      <t>ケイサン</t>
    </rPh>
    <rPh sb="10" eb="12">
      <t>イカ</t>
    </rPh>
    <rPh sb="13" eb="14">
      <t>オコナ</t>
    </rPh>
    <phoneticPr fontId="1"/>
  </si>
  <si>
    <t>　平均値＝（合計値×２０５）÷２０４８</t>
    <phoneticPr fontId="1"/>
  </si>
  <si>
    <t>ここで分子の205倍についても倍数が２のべき乗であればビット拡張して左へシフトすることで実現できる</t>
    <rPh sb="3" eb="5">
      <t>ブンシ</t>
    </rPh>
    <rPh sb="9" eb="10">
      <t>バイ</t>
    </rPh>
    <rPh sb="15" eb="17">
      <t>バイスウ</t>
    </rPh>
    <rPh sb="22" eb="23">
      <t>ジョウ</t>
    </rPh>
    <rPh sb="30" eb="32">
      <t>カクチョウ</t>
    </rPh>
    <rPh sb="34" eb="35">
      <t>ヒダリ</t>
    </rPh>
    <rPh sb="44" eb="46">
      <t>ジツゲン</t>
    </rPh>
    <phoneticPr fontId="1"/>
  </si>
  <si>
    <t>このことを利用して</t>
    <rPh sb="5" eb="7">
      <t>リヨウ</t>
    </rPh>
    <phoneticPr fontId="1"/>
  </si>
  <si>
    <t>　２０５＝（２５６－６４＋１６－４＋１）＝２＾８－２＾６＋２＾４－２＾２＋２＾０</t>
    <phoneticPr fontId="1"/>
  </si>
  <si>
    <t>合計値を8ビットシフト、6ビットシフト、4ビットシフト、2ビットシフト、シフト無し</t>
    <rPh sb="0" eb="3">
      <t>ゴウケイチ</t>
    </rPh>
    <rPh sb="39" eb="40">
      <t>ナ</t>
    </rPh>
    <phoneticPr fontId="1"/>
  </si>
  <si>
    <t>の各値の加算と減算によって分子を計算するものとする。</t>
    <rPh sb="1" eb="3">
      <t>カクアタイ</t>
    </rPh>
    <rPh sb="4" eb="6">
      <t>カサン</t>
    </rPh>
    <rPh sb="7" eb="9">
      <t>ゲンザン</t>
    </rPh>
    <rPh sb="13" eb="15">
      <t>ブンシ</t>
    </rPh>
    <rPh sb="16" eb="18">
      <t>ケイサン</t>
    </rPh>
    <phoneticPr fontId="1"/>
  </si>
  <si>
    <t>分子を右に11ビットシフトすると平均値が算出される。</t>
    <rPh sb="0" eb="2">
      <t>ブンシ</t>
    </rPh>
    <rPh sb="3" eb="4">
      <t>ミギ</t>
    </rPh>
    <rPh sb="16" eb="19">
      <t>ヘイキンチ</t>
    </rPh>
    <rPh sb="20" eb="22">
      <t>サンシュツ</t>
    </rPh>
    <phoneticPr fontId="1"/>
  </si>
  <si>
    <t>10回分の合計値は最大この10倍の数値40950になる</t>
    <rPh sb="2" eb="3">
      <t>カイ</t>
    </rPh>
    <rPh sb="3" eb="4">
      <t>ブン</t>
    </rPh>
    <rPh sb="5" eb="8">
      <t>ゴウケイチ</t>
    </rPh>
    <rPh sb="9" eb="11">
      <t>サイダイ</t>
    </rPh>
    <rPh sb="15" eb="16">
      <t>バイ</t>
    </rPh>
    <rPh sb="17" eb="19">
      <t>スウチ</t>
    </rPh>
    <phoneticPr fontId="1"/>
  </si>
  <si>
    <t>これをさらに205倍するので8394750</t>
    <rPh sb="9" eb="10">
      <t>バイ</t>
    </rPh>
    <phoneticPr fontId="1"/>
  </si>
  <si>
    <t>16進数に変換するとx8017FE(h)</t>
    <rPh sb="2" eb="4">
      <t>シンスウ</t>
    </rPh>
    <rPh sb="5" eb="7">
      <t>ヘンカン</t>
    </rPh>
    <phoneticPr fontId="1"/>
  </si>
  <si>
    <t>各測定値が12ビットなので最大値はxFFF(h)＝4095</t>
    <rPh sb="0" eb="1">
      <t>カク</t>
    </rPh>
    <rPh sb="1" eb="4">
      <t>ソクテイチ</t>
    </rPh>
    <rPh sb="13" eb="16">
      <t>サイダイチ</t>
    </rPh>
    <phoneticPr fontId="1"/>
  </si>
  <si>
    <t>この16進数を表現するには24ビットが必要</t>
    <rPh sb="4" eb="6">
      <t>シンスウ</t>
    </rPh>
    <rPh sb="7" eb="9">
      <t>ヒョウゲン</t>
    </rPh>
    <rPh sb="19" eb="21">
      <t>ヒツヨウ</t>
    </rPh>
    <phoneticPr fontId="1"/>
  </si>
  <si>
    <t>よって分子は(23 downto 0)として宣言</t>
    <rPh sb="3" eb="5">
      <t>ブンシ</t>
    </rPh>
    <rPh sb="22" eb="24">
      <t>センゲン</t>
    </rPh>
    <phoneticPr fontId="1"/>
  </si>
  <si>
    <t>ここで、2048で割る（11ビット右シフト）ということは</t>
    <rPh sb="9" eb="10">
      <t>ワ</t>
    </rPh>
    <rPh sb="17" eb="18">
      <t>ミギ</t>
    </rPh>
    <phoneticPr fontId="1"/>
  </si>
  <si>
    <t>(23 downto 11)を取り出すことと同義</t>
    <rPh sb="15" eb="16">
      <t>ト</t>
    </rPh>
    <rPh sb="17" eb="18">
      <t>ダ</t>
    </rPh>
    <rPh sb="22" eb="24">
      <t>ドウギ</t>
    </rPh>
    <phoneticPr fontId="1"/>
  </si>
  <si>
    <t>（シフト演算のビットの扱い）</t>
    <rPh sb="4" eb="6">
      <t>エンザン</t>
    </rPh>
    <rPh sb="11" eb="12">
      <t>アツカ</t>
    </rPh>
    <phoneticPr fontId="1"/>
  </si>
  <si>
    <t>これは13ビットだが、12ビットの平均値なので12ビットの値でないとおかしい。</t>
    <rPh sb="17" eb="20">
      <t>ヘイキンチ</t>
    </rPh>
    <rPh sb="29" eb="30">
      <t>アタイ</t>
    </rPh>
    <phoneticPr fontId="1"/>
  </si>
  <si>
    <t>ここで、実際はビットをけずるのではなく、シフトするのが割り算なので</t>
    <rPh sb="4" eb="6">
      <t>ジッサイ</t>
    </rPh>
    <rPh sb="27" eb="28">
      <t>ワ</t>
    </rPh>
    <rPh sb="29" eb="30">
      <t>ザン</t>
    </rPh>
    <phoneticPr fontId="1"/>
  </si>
  <si>
    <t>このときの（２３）は元々存在しない（２４）のビットがシフトとしてきたものなので演算結果として無効</t>
    <rPh sb="39" eb="41">
      <t>エンザン</t>
    </rPh>
    <rPh sb="41" eb="43">
      <t>ケッカ</t>
    </rPh>
    <rPh sb="46" eb="48">
      <t>ムコウ</t>
    </rPh>
    <phoneticPr fontId="1"/>
  </si>
  <si>
    <t>つまり取り出す値は(22 downto 11）の12ビットとなる</t>
    <rPh sb="3" eb="4">
      <t>ト</t>
    </rPh>
    <rPh sb="5" eb="6">
      <t>ダ</t>
    </rPh>
    <rPh sb="7" eb="8">
      <t>アタイ</t>
    </rPh>
    <phoneticPr fontId="1"/>
  </si>
  <si>
    <t>過去10分間の測定温度で平均値を算出</t>
    <rPh sb="0" eb="2">
      <t>カコ</t>
    </rPh>
    <rPh sb="4" eb="6">
      <t>プンカン</t>
    </rPh>
    <rPh sb="7" eb="11">
      <t>ソクテイオンド</t>
    </rPh>
    <rPh sb="12" eb="15">
      <t>ヘイキンチ</t>
    </rPh>
    <rPh sb="16" eb="18">
      <t>サンシュツ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</si>
</sst>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0"/>
      <color theme="1"/>
      <name val="メイリオ"/>
      <family val="2"/>
      <charset val="128"/>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alignment vertical="center"/>
    </xf>
    <xf numFmtId="0" fontId="2" fillId="0" borderId="0">
      <alignment vertical="center"/>
    </xf>
  </cellStyleXfs>
  <cellXfs count="9">
    <xf numFmtId="0" fontId="0" fillId="0" borderId="0" xfId="0">
      <alignment vertic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lignment vertical="center"/>
    </xf>
    <xf numFmtId="0" fontId="0" fillId="0" borderId="1" xfId="0" applyBorder="1" applyAlignment="1">
      <alignment horizontal="left" vertical="center"/>
    </xf>
    <xf numFmtId="0" fontId="0" fillId="0" borderId="0" xfId="0" applyAlignment="1">
      <alignment horizontal="righ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cellXfs>
  <cellStyles count="2">
    <cellStyle name="標準" xfId="0" builtinId="0"/>
    <cellStyle name="標準 2" xfId="1" xr:uid="{238BBC53-10B3-41AC-AB7F-1F65DB24D0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299356</xdr:colOff>
      <xdr:row>40</xdr:row>
      <xdr:rowOff>18143</xdr:rowOff>
    </xdr:from>
    <xdr:to>
      <xdr:col>8</xdr:col>
      <xdr:colOff>3117359</xdr:colOff>
      <xdr:row>59</xdr:row>
      <xdr:rowOff>27215</xdr:rowOff>
    </xdr:to>
    <xdr:pic>
      <xdr:nvPicPr>
        <xdr:cNvPr id="4" name="図 3">
          <a:extLst>
            <a:ext uri="{FF2B5EF4-FFF2-40B4-BE49-F238E27FC236}">
              <a16:creationId xmlns:a16="http://schemas.microsoft.com/office/drawing/2014/main" id="{66DFB4A6-1525-BD0E-DE32-71E362C70A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9356" y="9089572"/>
          <a:ext cx="12569789" cy="431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540185</xdr:colOff>
      <xdr:row>20</xdr:row>
      <xdr:rowOff>38337</xdr:rowOff>
    </xdr:to>
    <xdr:pic>
      <xdr:nvPicPr>
        <xdr:cNvPr id="2" name="図 1">
          <a:extLst>
            <a:ext uri="{FF2B5EF4-FFF2-40B4-BE49-F238E27FC236}">
              <a16:creationId xmlns:a16="http://schemas.microsoft.com/office/drawing/2014/main" id="{E1EE2E16-C3A8-54F1-F8BD-00EB5653B5F7}"/>
            </a:ext>
          </a:extLst>
        </xdr:cNvPr>
        <xdr:cNvPicPr>
          <a:picLocks noChangeAspect="1"/>
        </xdr:cNvPicPr>
      </xdr:nvPicPr>
      <xdr:blipFill>
        <a:blip xmlns:r="http://schemas.openxmlformats.org/officeDocument/2006/relationships" r:embed="rId1"/>
        <a:stretch>
          <a:fillRect/>
        </a:stretch>
      </xdr:blipFill>
      <xdr:spPr>
        <a:xfrm>
          <a:off x="0" y="0"/>
          <a:ext cx="8464985" cy="461033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34B61-835D-4433-83F0-CADEFDC76FBA}">
  <dimension ref="A2:I85"/>
  <sheetViews>
    <sheetView tabSelected="1" zoomScaleNormal="100" workbookViewId="0">
      <selection activeCell="G18" sqref="G18"/>
    </sheetView>
  </sheetViews>
  <sheetFormatPr defaultRowHeight="18" x14ac:dyDescent="0.55000000000000004"/>
  <cols>
    <col min="1" max="1" width="3.9140625" customWidth="1"/>
    <col min="2" max="2" width="3.83203125" bestFit="1" customWidth="1"/>
    <col min="3" max="3" width="19.83203125" bestFit="1" customWidth="1"/>
    <col min="4" max="4" width="7.08203125" bestFit="1" customWidth="1"/>
    <col min="5" max="5" width="13.75" bestFit="1" customWidth="1"/>
    <col min="6" max="6" width="56.58203125" bestFit="1" customWidth="1"/>
    <col min="7" max="7" width="12.75" bestFit="1" customWidth="1"/>
    <col min="8" max="8" width="10.08203125" bestFit="1" customWidth="1"/>
    <col min="9" max="9" width="90.33203125" bestFit="1" customWidth="1"/>
  </cols>
  <sheetData>
    <row r="2" spans="1:3" x14ac:dyDescent="0.55000000000000004">
      <c r="A2" t="s">
        <v>19</v>
      </c>
    </row>
    <row r="3" spans="1:3" x14ac:dyDescent="0.55000000000000004">
      <c r="B3" t="s">
        <v>37</v>
      </c>
    </row>
    <row r="4" spans="1:3" x14ac:dyDescent="0.55000000000000004">
      <c r="B4" t="s">
        <v>81</v>
      </c>
    </row>
    <row r="5" spans="1:3" x14ac:dyDescent="0.55000000000000004">
      <c r="B5" s="5" t="s">
        <v>78</v>
      </c>
      <c r="C5" t="s">
        <v>77</v>
      </c>
    </row>
    <row r="6" spans="1:3" x14ac:dyDescent="0.55000000000000004">
      <c r="B6" s="5" t="s">
        <v>79</v>
      </c>
      <c r="C6" t="s">
        <v>109</v>
      </c>
    </row>
    <row r="7" spans="1:3" x14ac:dyDescent="0.55000000000000004">
      <c r="B7" s="5" t="s">
        <v>80</v>
      </c>
      <c r="C7" t="s">
        <v>82</v>
      </c>
    </row>
    <row r="9" spans="1:3" x14ac:dyDescent="0.55000000000000004">
      <c r="B9" t="s">
        <v>83</v>
      </c>
    </row>
    <row r="10" spans="1:3" x14ac:dyDescent="0.55000000000000004">
      <c r="C10" t="s">
        <v>84</v>
      </c>
    </row>
    <row r="12" spans="1:3" x14ac:dyDescent="0.55000000000000004">
      <c r="C12" t="s">
        <v>85</v>
      </c>
    </row>
    <row r="13" spans="1:3" x14ac:dyDescent="0.55000000000000004">
      <c r="C13" t="s">
        <v>86</v>
      </c>
    </row>
    <row r="14" spans="1:3" x14ac:dyDescent="0.55000000000000004">
      <c r="C14" t="s">
        <v>87</v>
      </c>
    </row>
    <row r="15" spans="1:3" x14ac:dyDescent="0.55000000000000004">
      <c r="C15" t="s">
        <v>88</v>
      </c>
    </row>
    <row r="16" spans="1:3" x14ac:dyDescent="0.55000000000000004">
      <c r="C16" t="s">
        <v>89</v>
      </c>
    </row>
    <row r="18" spans="2:3" x14ac:dyDescent="0.55000000000000004">
      <c r="C18" t="s">
        <v>90</v>
      </c>
    </row>
    <row r="19" spans="2:3" x14ac:dyDescent="0.55000000000000004">
      <c r="C19" t="s">
        <v>91</v>
      </c>
    </row>
    <row r="20" spans="2:3" x14ac:dyDescent="0.55000000000000004">
      <c r="C20" t="s">
        <v>92</v>
      </c>
    </row>
    <row r="21" spans="2:3" x14ac:dyDescent="0.55000000000000004">
      <c r="C21" t="s">
        <v>93</v>
      </c>
    </row>
    <row r="22" spans="2:3" x14ac:dyDescent="0.55000000000000004">
      <c r="C22" t="s">
        <v>94</v>
      </c>
    </row>
    <row r="24" spans="2:3" x14ac:dyDescent="0.55000000000000004">
      <c r="C24" t="s">
        <v>95</v>
      </c>
    </row>
    <row r="26" spans="2:3" x14ac:dyDescent="0.55000000000000004">
      <c r="B26" t="s">
        <v>104</v>
      </c>
    </row>
    <row r="27" spans="2:3" x14ac:dyDescent="0.55000000000000004">
      <c r="C27" t="s">
        <v>99</v>
      </c>
    </row>
    <row r="28" spans="2:3" x14ac:dyDescent="0.55000000000000004">
      <c r="C28" t="s">
        <v>96</v>
      </c>
    </row>
    <row r="29" spans="2:3" x14ac:dyDescent="0.55000000000000004">
      <c r="C29" t="s">
        <v>97</v>
      </c>
    </row>
    <row r="30" spans="2:3" x14ac:dyDescent="0.55000000000000004">
      <c r="C30" t="s">
        <v>98</v>
      </c>
    </row>
    <row r="31" spans="2:3" x14ac:dyDescent="0.55000000000000004">
      <c r="C31" t="s">
        <v>100</v>
      </c>
    </row>
    <row r="32" spans="2:3" x14ac:dyDescent="0.55000000000000004">
      <c r="C32" t="s">
        <v>101</v>
      </c>
    </row>
    <row r="33" spans="1:3" x14ac:dyDescent="0.55000000000000004">
      <c r="C33" t="s">
        <v>102</v>
      </c>
    </row>
    <row r="34" spans="1:3" x14ac:dyDescent="0.55000000000000004">
      <c r="C34" t="s">
        <v>103</v>
      </c>
    </row>
    <row r="35" spans="1:3" x14ac:dyDescent="0.55000000000000004">
      <c r="C35" t="s">
        <v>105</v>
      </c>
    </row>
    <row r="36" spans="1:3" x14ac:dyDescent="0.55000000000000004">
      <c r="C36" t="s">
        <v>106</v>
      </c>
    </row>
    <row r="37" spans="1:3" x14ac:dyDescent="0.55000000000000004">
      <c r="C37" t="s">
        <v>107</v>
      </c>
    </row>
    <row r="38" spans="1:3" x14ac:dyDescent="0.55000000000000004">
      <c r="C38" t="s">
        <v>108</v>
      </c>
    </row>
    <row r="40" spans="1:3" x14ac:dyDescent="0.55000000000000004">
      <c r="A40" t="s">
        <v>16</v>
      </c>
    </row>
    <row r="62" spans="1:9" x14ac:dyDescent="0.55000000000000004">
      <c r="A62" t="s">
        <v>17</v>
      </c>
    </row>
    <row r="63" spans="1:9" ht="18" customHeight="1" x14ac:dyDescent="0.55000000000000004">
      <c r="B63" s="6" t="s">
        <v>0</v>
      </c>
      <c r="C63" s="6" t="s">
        <v>1</v>
      </c>
      <c r="D63" s="6" t="s">
        <v>2</v>
      </c>
      <c r="E63" s="7" t="s">
        <v>14</v>
      </c>
      <c r="F63" s="6" t="s">
        <v>3</v>
      </c>
      <c r="G63" s="6" t="s">
        <v>4</v>
      </c>
      <c r="H63" s="6"/>
      <c r="I63" s="6" t="s">
        <v>15</v>
      </c>
    </row>
    <row r="64" spans="1:9" x14ac:dyDescent="0.55000000000000004">
      <c r="B64" s="6"/>
      <c r="C64" s="6"/>
      <c r="D64" s="6"/>
      <c r="E64" s="8"/>
      <c r="F64" s="6"/>
      <c r="G64" s="1">
        <v>1</v>
      </c>
      <c r="H64" s="1">
        <v>0</v>
      </c>
      <c r="I64" s="6"/>
    </row>
    <row r="65" spans="1:9" x14ac:dyDescent="0.55000000000000004">
      <c r="B65" s="3">
        <v>1</v>
      </c>
      <c r="C65" s="3" t="s">
        <v>9</v>
      </c>
      <c r="D65" s="1" t="s">
        <v>5</v>
      </c>
      <c r="E65" s="1">
        <v>1</v>
      </c>
      <c r="F65" s="3" t="s">
        <v>10</v>
      </c>
      <c r="G65" s="3" t="s">
        <v>6</v>
      </c>
      <c r="H65" s="3" t="s">
        <v>6</v>
      </c>
      <c r="I65" s="1"/>
    </row>
    <row r="66" spans="1:9" x14ac:dyDescent="0.55000000000000004">
      <c r="B66" s="3">
        <f>B65+1</f>
        <v>2</v>
      </c>
      <c r="C66" s="3" t="s">
        <v>11</v>
      </c>
      <c r="D66" s="1" t="s">
        <v>5</v>
      </c>
      <c r="E66" s="1">
        <v>1</v>
      </c>
      <c r="F66" s="3" t="s">
        <v>7</v>
      </c>
      <c r="G66" s="3" t="s">
        <v>8</v>
      </c>
      <c r="H66" s="3" t="s">
        <v>7</v>
      </c>
      <c r="I66" s="1"/>
    </row>
    <row r="67" spans="1:9" x14ac:dyDescent="0.55000000000000004">
      <c r="B67" s="3">
        <f t="shared" ref="B67:B72" si="0">B66+1</f>
        <v>3</v>
      </c>
      <c r="C67" s="3" t="s">
        <v>12</v>
      </c>
      <c r="D67" s="1" t="s">
        <v>5</v>
      </c>
      <c r="E67" s="1">
        <v>1</v>
      </c>
      <c r="F67" s="3" t="s">
        <v>13</v>
      </c>
      <c r="G67" s="3" t="s">
        <v>6</v>
      </c>
      <c r="H67" s="3" t="s">
        <v>6</v>
      </c>
      <c r="I67" s="1"/>
    </row>
    <row r="68" spans="1:9" x14ac:dyDescent="0.55000000000000004">
      <c r="B68" s="3">
        <f t="shared" si="0"/>
        <v>4</v>
      </c>
      <c r="C68" s="3" t="s">
        <v>20</v>
      </c>
      <c r="D68" s="1" t="s">
        <v>5</v>
      </c>
      <c r="E68" s="1">
        <v>1</v>
      </c>
      <c r="F68" s="2" t="s">
        <v>21</v>
      </c>
      <c r="G68" s="3" t="s">
        <v>22</v>
      </c>
      <c r="H68" s="3" t="s">
        <v>23</v>
      </c>
      <c r="I68" s="3"/>
    </row>
    <row r="69" spans="1:9" x14ac:dyDescent="0.55000000000000004">
      <c r="B69" s="3">
        <f t="shared" si="0"/>
        <v>5</v>
      </c>
      <c r="C69" s="3" t="s">
        <v>24</v>
      </c>
      <c r="D69" s="1" t="s">
        <v>26</v>
      </c>
      <c r="E69" s="1">
        <v>12</v>
      </c>
      <c r="F69" s="2" t="s">
        <v>27</v>
      </c>
      <c r="G69" s="3" t="s">
        <v>6</v>
      </c>
      <c r="H69" s="3" t="s">
        <v>6</v>
      </c>
      <c r="I69" s="3"/>
    </row>
    <row r="70" spans="1:9" x14ac:dyDescent="0.55000000000000004">
      <c r="B70" s="3">
        <f t="shared" si="0"/>
        <v>6</v>
      </c>
      <c r="C70" s="3" t="s">
        <v>25</v>
      </c>
      <c r="D70" s="1" t="s">
        <v>26</v>
      </c>
      <c r="E70" s="1">
        <v>12</v>
      </c>
      <c r="F70" s="2" t="s">
        <v>28</v>
      </c>
      <c r="G70" s="3" t="s">
        <v>6</v>
      </c>
      <c r="H70" s="3" t="s">
        <v>6</v>
      </c>
      <c r="I70" s="3"/>
    </row>
    <row r="71" spans="1:9" x14ac:dyDescent="0.55000000000000004">
      <c r="B71" s="3">
        <f t="shared" si="0"/>
        <v>7</v>
      </c>
      <c r="C71" s="3" t="s">
        <v>29</v>
      </c>
      <c r="D71" s="1" t="s">
        <v>26</v>
      </c>
      <c r="E71" s="1">
        <v>12</v>
      </c>
      <c r="F71" s="2" t="s">
        <v>30</v>
      </c>
      <c r="G71" s="3" t="s">
        <v>6</v>
      </c>
      <c r="H71" s="3" t="s">
        <v>6</v>
      </c>
      <c r="I71" s="3" t="s">
        <v>31</v>
      </c>
    </row>
    <row r="72" spans="1:9" x14ac:dyDescent="0.55000000000000004">
      <c r="B72" s="3">
        <f t="shared" si="0"/>
        <v>8</v>
      </c>
      <c r="C72" s="3" t="s">
        <v>32</v>
      </c>
      <c r="D72" s="1" t="s">
        <v>33</v>
      </c>
      <c r="E72" s="1">
        <v>1</v>
      </c>
      <c r="F72" s="2" t="s">
        <v>34</v>
      </c>
      <c r="G72" s="3" t="s">
        <v>35</v>
      </c>
      <c r="H72" s="3" t="s">
        <v>36</v>
      </c>
      <c r="I72" s="3"/>
    </row>
    <row r="74" spans="1:9" x14ac:dyDescent="0.55000000000000004">
      <c r="A74" t="s">
        <v>18</v>
      </c>
    </row>
    <row r="75" spans="1:9" x14ac:dyDescent="0.55000000000000004">
      <c r="B75" s="6" t="s">
        <v>0</v>
      </c>
      <c r="C75" s="6" t="s">
        <v>1</v>
      </c>
      <c r="D75" s="6" t="s">
        <v>2</v>
      </c>
      <c r="E75" s="7" t="s">
        <v>14</v>
      </c>
      <c r="F75" s="6" t="s">
        <v>3</v>
      </c>
      <c r="G75" s="6" t="s">
        <v>4</v>
      </c>
      <c r="H75" s="6"/>
      <c r="I75" s="6" t="s">
        <v>15</v>
      </c>
    </row>
    <row r="76" spans="1:9" x14ac:dyDescent="0.55000000000000004">
      <c r="B76" s="6"/>
      <c r="C76" s="6"/>
      <c r="D76" s="6"/>
      <c r="E76" s="8"/>
      <c r="F76" s="6"/>
      <c r="G76" s="1">
        <v>1</v>
      </c>
      <c r="H76" s="1">
        <v>0</v>
      </c>
      <c r="I76" s="6"/>
    </row>
    <row r="77" spans="1:9" x14ac:dyDescent="0.55000000000000004">
      <c r="B77" s="3">
        <v>1</v>
      </c>
      <c r="C77" s="3" t="s">
        <v>55</v>
      </c>
      <c r="D77" s="1" t="s">
        <v>56</v>
      </c>
      <c r="E77" s="1">
        <v>1</v>
      </c>
      <c r="F77" s="3" t="s">
        <v>65</v>
      </c>
      <c r="G77" s="3" t="s">
        <v>6</v>
      </c>
      <c r="H77" s="3" t="s">
        <v>6</v>
      </c>
      <c r="I77" s="4"/>
    </row>
    <row r="78" spans="1:9" x14ac:dyDescent="0.55000000000000004">
      <c r="B78" s="3">
        <f>B77+1</f>
        <v>2</v>
      </c>
      <c r="C78" s="3" t="s">
        <v>57</v>
      </c>
      <c r="D78" s="1" t="s">
        <v>56</v>
      </c>
      <c r="E78" s="1">
        <v>16</v>
      </c>
      <c r="F78" s="3" t="s">
        <v>67</v>
      </c>
      <c r="G78" s="3" t="s">
        <v>6</v>
      </c>
      <c r="H78" s="3" t="s">
        <v>6</v>
      </c>
      <c r="I78" s="4"/>
    </row>
    <row r="79" spans="1:9" x14ac:dyDescent="0.55000000000000004">
      <c r="B79" s="3">
        <f t="shared" ref="B79:B85" si="1">B78+1</f>
        <v>3</v>
      </c>
      <c r="C79" s="3" t="s">
        <v>58</v>
      </c>
      <c r="D79" s="1" t="s">
        <v>56</v>
      </c>
      <c r="E79" s="1" t="s">
        <v>66</v>
      </c>
      <c r="F79" s="3" t="s">
        <v>68</v>
      </c>
      <c r="G79" s="3" t="s">
        <v>6</v>
      </c>
      <c r="H79" s="3" t="s">
        <v>6</v>
      </c>
      <c r="I79" s="4" t="s">
        <v>75</v>
      </c>
    </row>
    <row r="80" spans="1:9" x14ac:dyDescent="0.55000000000000004">
      <c r="B80" s="3">
        <f t="shared" si="1"/>
        <v>4</v>
      </c>
      <c r="C80" s="3" t="s">
        <v>59</v>
      </c>
      <c r="D80" s="1" t="s">
        <v>56</v>
      </c>
      <c r="E80" s="1">
        <v>24</v>
      </c>
      <c r="F80" s="3" t="s">
        <v>71</v>
      </c>
      <c r="G80" s="3" t="s">
        <v>6</v>
      </c>
      <c r="H80" s="3" t="s">
        <v>6</v>
      </c>
      <c r="I80" s="4"/>
    </row>
    <row r="81" spans="2:9" x14ac:dyDescent="0.55000000000000004">
      <c r="B81" s="3">
        <f t="shared" si="1"/>
        <v>5</v>
      </c>
      <c r="C81" s="3" t="s">
        <v>60</v>
      </c>
      <c r="D81" s="1" t="s">
        <v>56</v>
      </c>
      <c r="E81" s="1">
        <v>4</v>
      </c>
      <c r="F81" s="3" t="s">
        <v>69</v>
      </c>
      <c r="G81" s="3" t="s">
        <v>6</v>
      </c>
      <c r="H81" s="3" t="s">
        <v>6</v>
      </c>
      <c r="I81" s="4"/>
    </row>
    <row r="82" spans="2:9" x14ac:dyDescent="0.55000000000000004">
      <c r="B82" s="3">
        <f t="shared" si="1"/>
        <v>6</v>
      </c>
      <c r="C82" s="3" t="s">
        <v>61</v>
      </c>
      <c r="D82" s="1" t="s">
        <v>56</v>
      </c>
      <c r="E82" s="1">
        <v>24</v>
      </c>
      <c r="F82" s="3" t="s">
        <v>70</v>
      </c>
      <c r="G82" s="3" t="s">
        <v>6</v>
      </c>
      <c r="H82" s="3" t="s">
        <v>6</v>
      </c>
      <c r="I82" s="4" t="s">
        <v>76</v>
      </c>
    </row>
    <row r="83" spans="2:9" x14ac:dyDescent="0.55000000000000004">
      <c r="B83" s="3">
        <f t="shared" si="1"/>
        <v>7</v>
      </c>
      <c r="C83" s="3" t="s">
        <v>62</v>
      </c>
      <c r="D83" s="1" t="s">
        <v>56</v>
      </c>
      <c r="E83" s="1">
        <v>12</v>
      </c>
      <c r="F83" s="3" t="s">
        <v>72</v>
      </c>
      <c r="G83" s="3" t="s">
        <v>6</v>
      </c>
      <c r="H83" s="3" t="s">
        <v>6</v>
      </c>
      <c r="I83" s="4"/>
    </row>
    <row r="84" spans="2:9" x14ac:dyDescent="0.55000000000000004">
      <c r="B84" s="3">
        <f t="shared" si="1"/>
        <v>8</v>
      </c>
      <c r="C84" s="3" t="s">
        <v>63</v>
      </c>
      <c r="D84" s="1" t="s">
        <v>56</v>
      </c>
      <c r="E84" s="1">
        <v>1</v>
      </c>
      <c r="F84" s="3" t="s">
        <v>73</v>
      </c>
      <c r="G84" s="3" t="s">
        <v>35</v>
      </c>
      <c r="H84" s="3" t="s">
        <v>36</v>
      </c>
      <c r="I84" s="4"/>
    </row>
    <row r="85" spans="2:9" x14ac:dyDescent="0.55000000000000004">
      <c r="B85" s="3">
        <f t="shared" si="1"/>
        <v>9</v>
      </c>
      <c r="C85" s="3" t="s">
        <v>64</v>
      </c>
      <c r="D85" s="1" t="s">
        <v>56</v>
      </c>
      <c r="E85" s="1">
        <v>12</v>
      </c>
      <c r="F85" s="3" t="s">
        <v>74</v>
      </c>
      <c r="G85" s="3" t="s">
        <v>6</v>
      </c>
      <c r="H85" s="3" t="s">
        <v>6</v>
      </c>
      <c r="I85" s="4"/>
    </row>
  </sheetData>
  <mergeCells count="14">
    <mergeCell ref="I63:I64"/>
    <mergeCell ref="B63:B64"/>
    <mergeCell ref="C63:C64"/>
    <mergeCell ref="D63:D64"/>
    <mergeCell ref="E63:E64"/>
    <mergeCell ref="F63:F64"/>
    <mergeCell ref="G63:H63"/>
    <mergeCell ref="G75:H75"/>
    <mergeCell ref="I75:I76"/>
    <mergeCell ref="B75:B76"/>
    <mergeCell ref="C75:C76"/>
    <mergeCell ref="D75:D76"/>
    <mergeCell ref="E75:E76"/>
    <mergeCell ref="F75:F76"/>
  </mergeCells>
  <phoneticPr fontId="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D8BE9-E577-43BA-B10C-728FED87B56D}">
  <dimension ref="A22:O40"/>
  <sheetViews>
    <sheetView workbookViewId="0">
      <selection activeCell="A40" sqref="A40"/>
    </sheetView>
  </sheetViews>
  <sheetFormatPr defaultRowHeight="18" x14ac:dyDescent="0.55000000000000004"/>
  <sheetData>
    <row r="22" spans="1:15" x14ac:dyDescent="0.55000000000000004">
      <c r="O22">
        <f>2560*205</f>
        <v>524800</v>
      </c>
    </row>
    <row r="23" spans="1:15" x14ac:dyDescent="0.55000000000000004">
      <c r="A23" t="s">
        <v>38</v>
      </c>
    </row>
    <row r="24" spans="1:15" x14ac:dyDescent="0.55000000000000004">
      <c r="A24" t="s">
        <v>39</v>
      </c>
    </row>
    <row r="25" spans="1:15" x14ac:dyDescent="0.55000000000000004">
      <c r="A25" t="s">
        <v>40</v>
      </c>
    </row>
    <row r="26" spans="1:15" x14ac:dyDescent="0.55000000000000004">
      <c r="A26" t="s">
        <v>41</v>
      </c>
    </row>
    <row r="27" spans="1:15" x14ac:dyDescent="0.55000000000000004">
      <c r="A27" t="s">
        <v>42</v>
      </c>
    </row>
    <row r="28" spans="1:15" x14ac:dyDescent="0.55000000000000004">
      <c r="A28" t="s">
        <v>43</v>
      </c>
    </row>
    <row r="29" spans="1:15" x14ac:dyDescent="0.55000000000000004">
      <c r="A29" t="s">
        <v>44</v>
      </c>
    </row>
    <row r="30" spans="1:15" x14ac:dyDescent="0.55000000000000004">
      <c r="A30" t="s">
        <v>45</v>
      </c>
    </row>
    <row r="32" spans="1:15" x14ac:dyDescent="0.55000000000000004">
      <c r="A32" t="s">
        <v>46</v>
      </c>
    </row>
    <row r="33" spans="1:1" x14ac:dyDescent="0.55000000000000004">
      <c r="A33" t="s">
        <v>47</v>
      </c>
    </row>
    <row r="34" spans="1:1" x14ac:dyDescent="0.55000000000000004">
      <c r="A34" t="s">
        <v>48</v>
      </c>
    </row>
    <row r="35" spans="1:1" x14ac:dyDescent="0.55000000000000004">
      <c r="A35" t="s">
        <v>50</v>
      </c>
    </row>
    <row r="36" spans="1:1" x14ac:dyDescent="0.55000000000000004">
      <c r="A36" t="s">
        <v>51</v>
      </c>
    </row>
    <row r="37" spans="1:1" x14ac:dyDescent="0.55000000000000004">
      <c r="A37" t="s">
        <v>49</v>
      </c>
    </row>
    <row r="38" spans="1:1" x14ac:dyDescent="0.55000000000000004">
      <c r="A38" t="s">
        <v>52</v>
      </c>
    </row>
    <row r="39" spans="1:1" x14ac:dyDescent="0.55000000000000004">
      <c r="A39" t="s">
        <v>53</v>
      </c>
    </row>
    <row r="40" spans="1:1" x14ac:dyDescent="0.55000000000000004">
      <c r="A40" t="s">
        <v>54</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TEMP_ALM_TOP</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Hatashima Nobuhisa</dc:creator>
  <cp:lastModifiedBy>Hatashima Nobuhisa</cp:lastModifiedBy>
  <dcterms:created xsi:type="dcterms:W3CDTF">2025-12-18T23:54:49Z</dcterms:created>
  <dcterms:modified xsi:type="dcterms:W3CDTF">2026-02-11T23:16:01Z</dcterms:modified>
</cp:coreProperties>
</file>